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41280" windowHeight="1351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3" i="1"/>
  <c r="E2" i="1"/>
  <c r="F3" i="1"/>
  <c r="F4" i="1"/>
  <c r="F5" i="1"/>
  <c r="F6" i="1"/>
  <c r="F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<sst xmlns="http://schemas.openxmlformats.org/spreadsheetml/2006/main" count="12" uniqueCount="12">
  <si>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</si>
  <si>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</si>
  <si>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</si>
  <si>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</si>
  <si>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</si>
  <si>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</si>
  <si>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Иванов И.И.</t>
  </si>
  <si>
    <t>Петров П.П.</t>
  </si>
  <si>
    <t>Сидоров С.С.</t>
  </si>
  <si>
    <t>Кузнецова К.К.</t>
  </si>
  <si>
    <t>Смирнов С.С.</t>
  </si>
  <si>
    <t>Ставка НДФЛ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</si>
</sst>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#,##0.00\ &quot;₽&quot;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168" fontId="2" fillId="0" borderId="0" xfId="0" applyNumberFormat="1" applyFont="1"/>
    <xf numFmtId="168" fontId="0" fillId="0" borderId="0" xfId="0" applyNumberFormat="1"/>
    <xf numFmtId="9" fontId="0" fillId="3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zoomScale="130" zoomScaleNormal="130" workbookViewId="0">
      <selection activeCell="E11" sqref="E11"/>
    </sheetView>
  </sheetViews>
  <sheetFormatPr defaultRowHeight="14.4" x14ac:dyDescent="0.3"/>
  <cols>
    <col min="1" max="1" width="15.44140625" customWidth="1"/>
    <col min="2" max="2" width="12.109375" style="3" customWidth="1"/>
    <col min="3" max="3" width="11" customWidth="1"/>
    <col min="4" max="4" width="13" style="4" customWidth="1"/>
    <col min="5" max="5" width="11.6640625" style="4" customWidth="1"/>
    <col min="6" max="6" width="10.33203125" bestFit="1" customWidth="1"/>
  </cols>
  <sheetData>
    <row r="1" spans="1:8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H1" t="s">
        <v>11</v>
      </c>
    </row>
    <row r="2" spans="1:8" x14ac:dyDescent="0.3">
      <c r="A2" t="s">
        <v>6</v>
      </c>
      <c r="B2" s="3">
        <v>50000</v>
      </c>
      <c r="C2">
        <v>20</v>
      </c>
      <c r="D2" s="4">
        <f>B2*C2/100</f>
        <v>10000</v>
      </c>
      <c r="E2" s="4">
        <f>(B2+D2)*$H$2</f>
        <v>7800</v>
      </c>
      <c r="F2" s="4">
        <f>B2+D2-E2</f>
        <v>52200</v>
      </c>
      <c r="G2">
        <v>1</v>
      </c>
      <c r="H2" s="5">
        <v>0.13</v>
      </c>
    </row>
    <row r="3" spans="1:8" x14ac:dyDescent="0.3">
      <c r="A3" t="s">
        <v>7</v>
      </c>
      <c r="B3" s="3">
        <v>45000</v>
      </c>
      <c r="C3">
        <v>15</v>
      </c>
      <c r="D3" s="4">
        <f t="shared" ref="D3:D6" si="0">B3*C3/100</f>
        <v>6750</v>
      </c>
      <c r="E3" s="4">
        <f>(B3+C3)*0.13</f>
        <v>5851.95</v>
      </c>
      <c r="F3" s="4">
        <f t="shared" ref="F3:F6" si="1">B3+D3-E3</f>
        <v>45898.05</v>
      </c>
      <c r="G3">
        <v>2</v>
      </c>
    </row>
    <row r="4" spans="1:8" x14ac:dyDescent="0.3">
      <c r="A4" t="s">
        <v>8</v>
      </c>
      <c r="B4" s="3">
        <v>62000</v>
      </c>
      <c r="C4">
        <v>25</v>
      </c>
      <c r="D4" s="4">
        <f t="shared" si="0"/>
        <v>15500</v>
      </c>
      <c r="E4" s="4">
        <f t="shared" ref="E4:E6" si="2">(B4+C4)*0.13</f>
        <v>8063.25</v>
      </c>
      <c r="F4" s="4">
        <f t="shared" si="1"/>
        <v>69436.75</v>
      </c>
      <c r="G4">
        <v>3</v>
      </c>
    </row>
    <row r="5" spans="1:8" x14ac:dyDescent="0.3">
      <c r="A5" t="s">
        <v>9</v>
      </c>
      <c r="B5" s="3">
        <v>55000</v>
      </c>
      <c r="C5">
        <v>10</v>
      </c>
      <c r="D5" s="4">
        <f t="shared" si="0"/>
        <v>5500</v>
      </c>
      <c r="E5" s="4">
        <f t="shared" si="2"/>
        <v>7151.3</v>
      </c>
      <c r="F5" s="4">
        <f t="shared" si="1"/>
        <v>53348.7</v>
      </c>
      <c r="G5">
        <v>4</v>
      </c>
    </row>
    <row r="6" spans="1:8" x14ac:dyDescent="0.3">
      <c r="A6" t="s">
        <v>10</v>
      </c>
      <c r="B6" s="3">
        <v>40000</v>
      </c>
      <c r="C6">
        <v>30</v>
      </c>
      <c r="D6" s="4">
        <f t="shared" si="0"/>
        <v>12000</v>
      </c>
      <c r="E6" s="4">
        <f t="shared" si="2"/>
        <v>5203.9000000000005</v>
      </c>
      <c r="F6" s="4">
        <f t="shared" si="1"/>
        <v>46796.1</v>
      </c>
      <c r="G6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2026-09-25T06:32:32Z</dcterms:created>
  <dcterms:modified xsi:type="dcterms:W3CDTF">2026-09-25T07:26:17Z</dcterms:modified>
</cp:coreProperties>
</file>