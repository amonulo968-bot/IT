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ематика" sheetId="1" state="visible" r:id="rId1"/>
    <sheet xmlns:r="http://schemas.openxmlformats.org/officeDocument/2006/relationships" name="Финансы" sheetId="2" state="visible" r:id="rId2"/>
    <sheet xmlns:r="http://schemas.openxmlformats.org/officeDocument/2006/relationships" name="Креди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.0"/>
    <numFmt numFmtId="166" formatCode="0.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4" fontId="0" fillId="0" borderId="1" pivotButton="0" quotePrefix="0" xfId="0"/>
    <xf numFmtId="9" fontId="0" fillId="0" borderId="1" pivotButton="0" quotePrefix="0" xfId="0"/>
    <xf numFmtId="0" fontId="3" fillId="0" borderId="0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3" customWidth="1" min="4" max="4"/>
    <col width="12" customWidth="1" min="5" max="5"/>
    <col width="13" customWidth="1" min="6" max="6"/>
    <col width="8" customWidth="1" min="7" max="7"/>
    <col width="20" customWidth="1" min="8" max="8"/>
    <col width="10" customWidth="1" min="9" max="9"/>
    <col width="17" customWidth="1" min="10" max="10"/>
    <col width="8" customWidth="1" min="11" max="11"/>
    <col width="12" customWidth="1" min="12" max="12"/>
    <col width="15" customWidth="1" min="24" max="24"/>
    <col width="26" customWidth="1" min="25" max="25"/>
    <col width="22" customWidth="1" min="26" max="26"/>
    <col width="14" customWidth="1" min="27" max="27"/>
  </cols>
  <sheetData>
    <row r="1">
      <c r="A1" s="1" t="inlineStr">
        <is>
          <t>№ детали</t>
        </is>
      </c>
      <c r="B1" s="1" t="inlineStr">
        <is>
          <t>Радиус R (мм)</t>
        </is>
      </c>
      <c r="C1" s="1" t="inlineStr">
        <is>
          <t>Высота h (мм)</t>
        </is>
      </c>
      <c r="D1" s="1" t="inlineStr">
        <is>
          <t>Масса m (кг)</t>
        </is>
      </c>
      <c r="E1" s="1" t="inlineStr">
        <is>
          <t>Длина L (мм)</t>
        </is>
      </c>
      <c r="F1" s="1" t="inlineStr">
        <is>
          <t>Диаметр (мм)</t>
        </is>
      </c>
      <c r="G1" s="1" t="inlineStr">
        <is>
          <t>№ п/п</t>
        </is>
      </c>
      <c r="H1" s="1" t="inlineStr">
        <is>
          <t>Объем цилиндра (мм³)</t>
        </is>
      </c>
      <c r="I1" s="1" t="inlineStr">
        <is>
          <t>√V</t>
        </is>
      </c>
      <c r="J1" s="2" t="inlineStr">
        <is>
          <t>Норма массы (кг):</t>
        </is>
      </c>
      <c r="K1" s="3" t="n">
        <v>3</v>
      </c>
      <c r="L1" s="1" t="inlineStr">
        <is>
          <t>|m - норма|</t>
        </is>
      </c>
      <c r="X1" s="1" t="inlineStr">
        <is>
          <t>Длина дуги (мм)</t>
        </is>
      </c>
      <c r="Y1" t="n">
        <v>60</v>
      </c>
      <c r="Z1" s="1" t="inlineStr">
        <is>
          <t>Дуга через РАДИАНЫ</t>
        </is>
      </c>
    </row>
    <row r="2">
      <c r="A2" s="3" t="n">
        <v>1</v>
      </c>
      <c r="B2" s="4" t="n">
        <v>12.5</v>
      </c>
      <c r="C2" s="4" t="n">
        <v>30</v>
      </c>
      <c r="D2" s="4" t="n">
        <v>2.4</v>
      </c>
      <c r="E2" s="4" t="n">
        <v>145</v>
      </c>
      <c r="F2" s="4">
        <f>2*B2</f>
        <v/>
      </c>
      <c r="G2" s="3" t="n">
        <v>1</v>
      </c>
      <c r="H2" s="5">
        <f>PI()*POWER(B2,2)*C2</f>
        <v/>
      </c>
      <c r="I2" s="5">
        <f>SQRT(H2)</f>
        <v/>
      </c>
      <c r="L2" s="4">
        <f>ABS(D2-$K$1)</f>
        <v/>
      </c>
      <c r="X2" s="6">
        <f>PI()*B2*$Y$1/180</f>
        <v/>
      </c>
      <c r="Z2" s="6">
        <f>B2*RADIANS($Y$1)</f>
        <v/>
      </c>
    </row>
    <row r="3">
      <c r="A3" s="3" t="n">
        <v>2</v>
      </c>
      <c r="B3" s="4" t="n">
        <v>8.300000000000001</v>
      </c>
      <c r="C3" s="4" t="n">
        <v>25</v>
      </c>
      <c r="D3" s="4" t="n">
        <v>1.1</v>
      </c>
      <c r="E3" s="4" t="n">
        <v>98</v>
      </c>
      <c r="F3" s="4">
        <f>2*B3</f>
        <v/>
      </c>
      <c r="G3" s="3" t="n">
        <v>2</v>
      </c>
      <c r="H3" s="5">
        <f>PI()*POWER(B3,2)*C3</f>
        <v/>
      </c>
      <c r="I3" s="5">
        <f>SQRT(H3)</f>
        <v/>
      </c>
      <c r="L3" s="4">
        <f>ABS(D3-$K$1)</f>
        <v/>
      </c>
      <c r="X3" s="6">
        <f>PI()*B3*$Y$1/180</f>
        <v/>
      </c>
      <c r="Z3" s="6">
        <f>B3*RADIANS($Y$1)</f>
        <v/>
      </c>
    </row>
    <row r="4">
      <c r="A4" s="3" t="n">
        <v>3</v>
      </c>
      <c r="B4" s="4" t="n">
        <v>15.7</v>
      </c>
      <c r="C4" s="4" t="n">
        <v>40</v>
      </c>
      <c r="D4" s="4" t="n">
        <v>4.2</v>
      </c>
      <c r="E4" s="4" t="n">
        <v>210</v>
      </c>
      <c r="F4" s="4">
        <f>2*B4</f>
        <v/>
      </c>
      <c r="G4" s="3" t="n">
        <v>3</v>
      </c>
      <c r="H4" s="5">
        <f>PI()*POWER(B4,2)*C4</f>
        <v/>
      </c>
      <c r="I4" s="5">
        <f>SQRT(H4)</f>
        <v/>
      </c>
      <c r="L4" s="4">
        <f>ABS(D4-$K$1)</f>
        <v/>
      </c>
      <c r="X4" s="6">
        <f>PI()*B4*$Y$1/180</f>
        <v/>
      </c>
      <c r="Z4" s="6">
        <f>B4*RADIANS($Y$1)</f>
        <v/>
      </c>
    </row>
    <row r="5">
      <c r="A5" s="3" t="n">
        <v>4</v>
      </c>
      <c r="B5" s="4" t="n">
        <v>6.2</v>
      </c>
      <c r="C5" s="4" t="n">
        <v>18</v>
      </c>
      <c r="D5" s="4" t="n">
        <v>0.7</v>
      </c>
      <c r="E5" s="4" t="n">
        <v>75</v>
      </c>
      <c r="F5" s="4">
        <f>2*B5</f>
        <v/>
      </c>
      <c r="G5" s="3" t="n">
        <v>4</v>
      </c>
      <c r="H5" s="5">
        <f>PI()*POWER(B5,2)*C5</f>
        <v/>
      </c>
      <c r="I5" s="5">
        <f>SQRT(H5)</f>
        <v/>
      </c>
      <c r="L5" s="4">
        <f>ABS(D5-$K$1)</f>
        <v/>
      </c>
      <c r="X5" s="6">
        <f>PI()*B5*$Y$1/180</f>
        <v/>
      </c>
      <c r="Z5" s="6">
        <f>B5*RADIANS($Y$1)</f>
        <v/>
      </c>
    </row>
    <row r="6">
      <c r="A6" s="3" t="n">
        <v>5</v>
      </c>
      <c r="B6" s="4" t="n">
        <v>20.1</v>
      </c>
      <c r="C6" s="4" t="n">
        <v>55</v>
      </c>
      <c r="D6" s="4" t="n">
        <v>6.5</v>
      </c>
      <c r="E6" s="4" t="n">
        <v>320</v>
      </c>
      <c r="F6" s="4">
        <f>2*B6</f>
        <v/>
      </c>
      <c r="G6" s="3" t="n">
        <v>5</v>
      </c>
      <c r="H6" s="5">
        <f>PI()*POWER(B6,2)*C6</f>
        <v/>
      </c>
      <c r="I6" s="5">
        <f>SQRT(H6)</f>
        <v/>
      </c>
      <c r="L6" s="4">
        <f>ABS(D6-$K$1)</f>
        <v/>
      </c>
      <c r="X6" s="6">
        <f>PI()*B6*$Y$1/180</f>
        <v/>
      </c>
      <c r="Z6" s="6">
        <f>B6*RADIANS($Y$1)</f>
        <v/>
      </c>
    </row>
    <row r="7">
      <c r="A7" s="3" t="n">
        <v>6</v>
      </c>
      <c r="B7" s="4" t="n">
        <v>10.4</v>
      </c>
      <c r="C7" s="4" t="n">
        <v>28</v>
      </c>
      <c r="D7" s="4" t="n">
        <v>1.9</v>
      </c>
      <c r="E7" s="4" t="n">
        <v>130</v>
      </c>
      <c r="F7" s="4">
        <f>2*B7</f>
        <v/>
      </c>
      <c r="G7" s="3" t="n">
        <v>6</v>
      </c>
      <c r="H7" s="5">
        <f>PI()*POWER(B7,2)*C7</f>
        <v/>
      </c>
      <c r="I7" s="5">
        <f>SQRT(H7)</f>
        <v/>
      </c>
      <c r="L7" s="4">
        <f>ABS(D7-$K$1)</f>
        <v/>
      </c>
      <c r="X7" s="6">
        <f>PI()*B7*$Y$1/180</f>
        <v/>
      </c>
      <c r="Z7" s="6">
        <f>B7*RADIANS($Y$1)</f>
        <v/>
      </c>
    </row>
    <row r="8">
      <c r="A8" s="3" t="n">
        <v>7</v>
      </c>
      <c r="B8" s="4" t="n">
        <v>18.9</v>
      </c>
      <c r="C8" s="4" t="n">
        <v>48</v>
      </c>
      <c r="D8" s="4" t="n">
        <v>5.2</v>
      </c>
      <c r="E8" s="4" t="n">
        <v>275</v>
      </c>
      <c r="F8" s="4">
        <f>2*B8</f>
        <v/>
      </c>
      <c r="G8" s="3" t="n">
        <v>7</v>
      </c>
      <c r="H8" s="5">
        <f>PI()*POWER(B8,2)*C8</f>
        <v/>
      </c>
      <c r="I8" s="5">
        <f>SQRT(H8)</f>
        <v/>
      </c>
      <c r="L8" s="4">
        <f>ABS(D8-$K$1)</f>
        <v/>
      </c>
      <c r="X8" s="6">
        <f>PI()*B8*$Y$1/180</f>
        <v/>
      </c>
      <c r="Z8" s="6">
        <f>B8*RADIANS($Y$1)</f>
        <v/>
      </c>
    </row>
    <row r="10">
      <c r="Y10" s="2" t="inlineStr">
        <is>
          <t>Обратное преобразование (°):</t>
        </is>
      </c>
      <c r="Z10" s="3">
        <f>DEGREES(PI()/3)</f>
        <v/>
      </c>
    </row>
    <row r="13">
      <c r="Z13" s="2" t="inlineStr">
        <is>
          <t>Сводная статистика:</t>
        </is>
      </c>
    </row>
    <row r="14">
      <c r="Z14" t="inlineStr">
        <is>
          <t>Суммарная масса всех деталей</t>
        </is>
      </c>
      <c r="AA14" s="4">
        <f>SUM(D2:D8)</f>
        <v/>
      </c>
    </row>
    <row r="15">
      <c r="Z15" t="inlineStr">
        <is>
          <t>Масса деталей &gt; 2 кг</t>
        </is>
      </c>
      <c r="AA15" s="4">
        <f>SUMIF(D2:D8,"&gt;2")</f>
        <v/>
      </c>
    </row>
    <row r="16">
      <c r="Z16" t="inlineStr">
        <is>
          <t>Средневзвешенная масса</t>
        </is>
      </c>
      <c r="AA16" s="6">
        <f>SUMPRODUCT(D2:D8,E2:E8)/SUM(E2:E8)</f>
        <v/>
      </c>
    </row>
    <row r="17">
      <c r="Z17" t="inlineStr">
        <is>
          <t>Количество деталей &gt; 2 кг</t>
        </is>
      </c>
      <c r="AA17" s="3">
        <f>COUNTIF(D2:D8,"&gt;2")</f>
        <v/>
      </c>
    </row>
    <row r="18">
      <c r="Z18" t="inlineStr">
        <is>
          <t>Средняя масса</t>
        </is>
      </c>
      <c r="AA18" s="6">
        <f>AVERAGE(D2:D8)</f>
        <v/>
      </c>
    </row>
    <row r="19">
      <c r="Z19" t="inlineStr">
        <is>
          <t>Максимальная масса</t>
        </is>
      </c>
      <c r="AA19" s="4">
        <f>MAX(D2:D8)</f>
        <v/>
      </c>
    </row>
    <row r="20">
      <c r="Z20" t="inlineStr">
        <is>
          <t>Минимальная масса</t>
        </is>
      </c>
      <c r="AA20" s="4">
        <f>MIN(D2:D8)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2" t="inlineStr">
        <is>
          <t>Начальная сумма (руб.)</t>
        </is>
      </c>
      <c r="B1" s="7" t="n">
        <v>100000</v>
      </c>
    </row>
    <row r="2">
      <c r="A2" s="2" t="inlineStr">
        <is>
          <t>Ставка годовая</t>
        </is>
      </c>
      <c r="B2" s="8" t="n">
        <v>0.12</v>
      </c>
    </row>
    <row r="3">
      <c r="A3" s="2" t="inlineStr">
        <is>
          <t>Срок (лет)</t>
        </is>
      </c>
      <c r="B3" s="3" t="n">
        <v>5</v>
      </c>
    </row>
    <row r="4">
      <c r="A4" s="9" t="inlineStr">
        <is>
          <t>Итог = СТЕПЕНЬ (ежегодное капитал.)</t>
        </is>
      </c>
      <c r="B4" s="7">
        <f>B1*POWER(1+B2,B3)</f>
        <v/>
      </c>
    </row>
    <row r="5">
      <c r="A5" s="9" t="inlineStr">
        <is>
          <t>Итог = ЭКСП (непрерывное капитал.)</t>
        </is>
      </c>
      <c r="B5" s="7">
        <f>B1*EXP(B2*B3)</f>
        <v/>
      </c>
    </row>
    <row r="6">
      <c r="A6" s="9" t="inlineStr">
        <is>
          <t>Срок удвоения по правилу 72 (лет)</t>
        </is>
      </c>
      <c r="B6" s="4">
        <f>72/(B2*100)</f>
        <v/>
      </c>
    </row>
    <row r="7">
      <c r="A7" s="9" t="inlineStr">
        <is>
          <t>Точный срок удвоения = LN(2)/LN(1+r) (лет)</t>
        </is>
      </c>
      <c r="B7" s="10">
        <f>LN(2)/LN(1+B2)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2" t="inlineStr">
        <is>
          <t>Сумма кредита (руб.)</t>
        </is>
      </c>
      <c r="B1" s="7" t="n">
        <v>500000</v>
      </c>
    </row>
    <row r="2">
      <c r="A2" s="2" t="inlineStr">
        <is>
          <t>Ставка годовая</t>
        </is>
      </c>
      <c r="B2" s="8" t="n">
        <v>0.18</v>
      </c>
    </row>
    <row r="3">
      <c r="A3" s="2" t="inlineStr">
        <is>
          <t>Срок (лет)</t>
        </is>
      </c>
      <c r="B3" s="3" t="n">
        <v>3</v>
      </c>
    </row>
    <row r="4">
      <c r="A4" s="9" t="inlineStr">
        <is>
          <t>Ежемесячный платеж (руб.)</t>
        </is>
      </c>
      <c r="B4" s="7">
        <f>PMT(B2/12,B3*12,-B1)</f>
        <v/>
      </c>
    </row>
    <row r="5">
      <c r="A5" s="9" t="inlineStr">
        <is>
          <t>Общая выплата (руб.)</t>
        </is>
      </c>
      <c r="B5" s="7">
        <f>B4*B3*12</f>
        <v/>
      </c>
    </row>
    <row r="6">
      <c r="A6" s="9" t="inlineStr">
        <is>
          <t>Переплата по кредиту (руб.)</t>
        </is>
      </c>
      <c r="B6" s="7">
        <f>B5-B1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2026-09-28T08:44:57Z</dcterms:created>
  <dcterms:modified xmlns:dcterms="http://purl.org/dc/terms/" xmlns:xsi="http://www.w3.org/2001/XMLSchema-instance" xsi:type="dcterms:W3CDTF">2026-09-28T08:45:25Z</dcterms:modified>
</cp:coreProperties>
</file>